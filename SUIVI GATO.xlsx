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13360AD-46F8-49CE-BBDA-EB9E53547761}" xr6:coauthVersionLast="47" xr6:coauthVersionMax="47" xr10:uidLastSave="{00000000-0000-0000-0000-000000000000}"/>
  <bookViews>
    <workbookView xWindow="-110" yWindow="-110" windowWidth="19420" windowHeight="11500" xr2:uid="{168C1868-EFE7-44B4-B571-5BF6B05755EF}"/>
  </bookViews>
  <sheets>
    <sheet name="GATO - 2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U18" i="2" l="1"/>
  <c r="T18" i="2"/>
  <c r="C18" i="2"/>
  <c r="B4" i="2"/>
</calcChain>
</file>

<file path=xl/sharedStrings.xml><?xml version="1.0" encoding="utf-8"?>
<sst xmlns="http://schemas.openxmlformats.org/spreadsheetml/2006/main" count="107" uniqueCount="52">
  <si>
    <t>Date</t>
  </si>
  <si>
    <t>Annonceur</t>
  </si>
  <si>
    <t>Cible</t>
  </si>
  <si>
    <t>15+</t>
  </si>
  <si>
    <t>Chaîne</t>
  </si>
  <si>
    <t>N° Mois</t>
  </si>
  <si>
    <t>Année</t>
  </si>
  <si>
    <t>Marque</t>
  </si>
  <si>
    <t>Produit</t>
  </si>
  <si>
    <t>H.Début</t>
  </si>
  <si>
    <t>H.Fin</t>
  </si>
  <si>
    <t>Durée</t>
  </si>
  <si>
    <t>Code Ecran</t>
  </si>
  <si>
    <t>Code Ecran PM</t>
  </si>
  <si>
    <t>Commentaire</t>
  </si>
  <si>
    <t>Programme après</t>
  </si>
  <si>
    <t>Programme avant</t>
  </si>
  <si>
    <t>Position</t>
  </si>
  <si>
    <t>Rang</t>
  </si>
  <si>
    <t>Encombrement</t>
  </si>
  <si>
    <t>Storyboard</t>
  </si>
  <si>
    <t>TM%</t>
  </si>
  <si>
    <t>TME</t>
  </si>
  <si>
    <t>2M</t>
  </si>
  <si>
    <t>LES GRANDS MOULINS IDRISSIA</t>
  </si>
  <si>
    <t>GATO</t>
  </si>
  <si>
    <t>GATO FARINES ET SEMOULES</t>
  </si>
  <si>
    <t>Second Position</t>
  </si>
  <si>
    <t>GATO FARINES ET SEMOULES  #F ASALTNA MANFARTO</t>
  </si>
  <si>
    <t>1727</t>
  </si>
  <si>
    <t>AAILTI -TURC</t>
  </si>
  <si>
    <t>Any Other Position</t>
  </si>
  <si>
    <t>1909</t>
  </si>
  <si>
    <t>1937R</t>
  </si>
  <si>
    <t>BNATE LALLA MENNANA III</t>
  </si>
  <si>
    <t>First Position</t>
  </si>
  <si>
    <t>1837</t>
  </si>
  <si>
    <t>1837R</t>
  </si>
  <si>
    <t>YAWMIYAT MAHJOUBA WA TIBARIYA</t>
  </si>
  <si>
    <t>HIKAYATE CHAMA</t>
  </si>
  <si>
    <t>2209R</t>
  </si>
  <si>
    <t>RACHID SHOW</t>
  </si>
  <si>
    <t>1747R</t>
  </si>
  <si>
    <t>1847</t>
  </si>
  <si>
    <t>1847R</t>
  </si>
  <si>
    <t>1937</t>
  </si>
  <si>
    <t>GATO FARINES ET SEMOULES (70 ANS) VL</t>
  </si>
  <si>
    <t>1820</t>
  </si>
  <si>
    <t>1820R</t>
  </si>
  <si>
    <t>APPEL A LA PRIERE</t>
  </si>
  <si>
    <t>2229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</si>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</sst>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400]h:mm:ss\ AM/PM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1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F867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3" borderId="2" applyNumberFormat="0" applyProtection="0">
      <alignment horizontal="left"/>
    </xf>
  </cellStyleXfs>
  <cellXfs count="2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4" fontId="2" fillId="2" borderId="1" xfId="0" applyNumberFormat="1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49" fontId="2" fillId="2" borderId="1" xfId="0" applyNumberFormat="1" applyFont="1" applyFill="1" applyBorder="1"/>
    <xf numFmtId="0" fontId="3" fillId="0" borderId="0" xfId="0" applyFont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5" fillId="0" borderId="1" xfId="2" applyFont="1" applyFill="1" applyBorder="1" applyAlignment="1">
      <alignment horizontal="center" vertical="center"/>
    </xf>
    <xf numFmtId="49" fontId="0" fillId="0" borderId="1" xfId="0" applyNumberFormat="1" applyBorder="1"/>
    <xf numFmtId="165" fontId="0" fillId="0" borderId="1" xfId="1" applyNumberFormat="1" applyFont="1" applyBorder="1"/>
    <xf numFmtId="0" fontId="5" fillId="4" borderId="1" xfId="2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5" xfId="0" applyFill="1" applyBorder="1"/>
    <xf numFmtId="165" fontId="0" fillId="6" borderId="5" xfId="1" applyNumberFormat="1" applyFont="1" applyFill="1" applyBorder="1"/>
    <xf numFmtId="14" fontId="0" fillId="5" borderId="3" xfId="0" applyNumberFormat="1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</cellXfs>
  <cellStyles count="3">
    <cellStyle name="2" xfId="2" xr:uid="{806DEDC8-E052-4AC9-85E6-67C6D31B89CE}"/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95250</xdr:colOff>
      <xdr:row>2</xdr:row>
      <xdr:rowOff>72355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6FBB90A-5B48-453C-B5F0-A685FEA8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500" cy="440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59BE-1BBB-4B8F-A117-109128F3AE26}">
  <dimension ref="A4:U18"/>
  <sheetViews>
    <sheetView showGridLines="0" tabSelected="1" workbookViewId="0">
      <selection activeCell="D4" sqref="D4"/>
    </sheetView>
  </sheetViews>
  <sheetFormatPr baseColWidth="10" defaultRowHeight="14.5" x14ac:dyDescent="0.35"/>
  <cols>
    <col min="1" max="1" width="10.453125" style="1" bestFit="1" customWidth="1"/>
    <col min="2" max="2" width="10.453125" bestFit="1" customWidth="1"/>
    <col min="3" max="3" width="7.36328125" bestFit="1" customWidth="1"/>
    <col min="4" max="4" width="6.1796875" bestFit="1" customWidth="1"/>
    <col min="5" max="5" width="27.08984375" bestFit="1" customWidth="1"/>
    <col min="6" max="6" width="7.453125" bestFit="1" customWidth="1"/>
    <col min="7" max="7" width="25.08984375" bestFit="1" customWidth="1"/>
    <col min="8" max="10" width="7.90625" style="2" bestFit="1" customWidth="1"/>
    <col min="11" max="11" width="10.1796875" style="3" bestFit="1" customWidth="1"/>
    <col min="12" max="12" width="13.453125" style="3" bestFit="1" customWidth="1"/>
    <col min="13" max="13" width="12.90625" style="3" bestFit="1" customWidth="1"/>
    <col min="14" max="14" width="35.6328125" customWidth="1"/>
    <col min="15" max="15" width="23.26953125" bestFit="1" customWidth="1"/>
    <col min="16" max="16" width="16.453125" bestFit="1" customWidth="1"/>
    <col min="17" max="17" width="4.90625" bestFit="1" customWidth="1"/>
    <col min="18" max="18" width="13.7265625" bestFit="1" customWidth="1"/>
    <col min="19" max="19" width="35.6328125" customWidth="1"/>
    <col min="20" max="20" width="5" bestFit="1" customWidth="1"/>
    <col min="21" max="21" width="10" bestFit="1" customWidth="1"/>
  </cols>
  <sheetData>
    <row r="4" spans="1:21" x14ac:dyDescent="0.35">
      <c r="A4" s="1" t="s">
        <v>0</v>
      </c>
      <c r="B4" s="1">
        <f ca="1">TODAY()</f>
        <v>46083</v>
      </c>
    </row>
    <row r="5" spans="1:21" x14ac:dyDescent="0.35">
      <c r="A5" s="1" t="s">
        <v>1</v>
      </c>
      <c r="B5" t="str">
        <f>F10</f>
        <v>GATO</v>
      </c>
    </row>
    <row r="6" spans="1:21" x14ac:dyDescent="0.35">
      <c r="A6" s="1" t="s">
        <v>2</v>
      </c>
      <c r="B6" t="s">
        <v>3</v>
      </c>
    </row>
    <row r="9" spans="1:21" s="8" customFormat="1" x14ac:dyDescent="0.35">
      <c r="A9" s="4" t="s">
        <v>0</v>
      </c>
      <c r="B9" s="5" t="s">
        <v>4</v>
      </c>
      <c r="C9" s="5" t="s">
        <v>5</v>
      </c>
      <c r="D9" s="5" t="s">
        <v>6</v>
      </c>
      <c r="E9" s="5" t="s">
        <v>1</v>
      </c>
      <c r="F9" s="5" t="s">
        <v>7</v>
      </c>
      <c r="G9" s="5" t="s">
        <v>8</v>
      </c>
      <c r="H9" s="6" t="s">
        <v>9</v>
      </c>
      <c r="I9" s="6" t="s">
        <v>10</v>
      </c>
      <c r="J9" s="6" t="s">
        <v>11</v>
      </c>
      <c r="K9" s="7" t="s">
        <v>12</v>
      </c>
      <c r="L9" s="7" t="s">
        <v>13</v>
      </c>
      <c r="M9" s="7" t="s">
        <v>14</v>
      </c>
      <c r="N9" s="5" t="s">
        <v>15</v>
      </c>
      <c r="O9" s="5" t="s">
        <v>16</v>
      </c>
      <c r="P9" s="5" t="s">
        <v>17</v>
      </c>
      <c r="Q9" s="5" t="s">
        <v>18</v>
      </c>
      <c r="R9" s="5" t="s">
        <v>19</v>
      </c>
      <c r="S9" s="5" t="s">
        <v>20</v>
      </c>
      <c r="T9" s="5" t="s">
        <v>21</v>
      </c>
      <c r="U9" s="5" t="s">
        <v>22</v>
      </c>
    </row>
    <row r="10" spans="1:21" x14ac:dyDescent="0.35">
      <c r="A10" s="9">
        <v>46078</v>
      </c>
      <c r="B10" s="10" t="s">
        <v>23</v>
      </c>
      <c r="C10" s="11">
        <v>2</v>
      </c>
      <c r="D10" s="10">
        <v>2026</v>
      </c>
      <c r="E10" s="10" t="s">
        <v>24</v>
      </c>
      <c r="F10" s="10" t="s">
        <v>25</v>
      </c>
      <c r="G10" s="10" t="s">
        <v>26</v>
      </c>
      <c r="H10" s="12">
        <v>0.79295138888888894</v>
      </c>
      <c r="I10" s="12">
        <v>0.7930787037037037</v>
      </c>
      <c r="J10" s="12">
        <v>1.273148148148148E-4</v>
      </c>
      <c r="K10" s="13" t="s">
        <v>43</v>
      </c>
      <c r="L10" s="14" t="s">
        <v>44</v>
      </c>
      <c r="M10" s="15"/>
      <c r="N10" s="10" t="s">
        <v>34</v>
      </c>
      <c r="O10" s="10" t="s">
        <v>34</v>
      </c>
      <c r="P10" s="10" t="s">
        <v>31</v>
      </c>
      <c r="Q10" s="10">
        <v>8</v>
      </c>
      <c r="R10" s="10">
        <v>11</v>
      </c>
      <c r="S10" s="10" t="s">
        <v>28</v>
      </c>
      <c r="T10" s="10">
        <v>22.6</v>
      </c>
      <c r="U10" s="16">
        <v>6161</v>
      </c>
    </row>
    <row r="11" spans="1:21" x14ac:dyDescent="0.35">
      <c r="A11" s="9">
        <v>46078</v>
      </c>
      <c r="B11" s="10" t="s">
        <v>23</v>
      </c>
      <c r="C11" s="11">
        <v>2</v>
      </c>
      <c r="D11" s="10">
        <v>2026</v>
      </c>
      <c r="E11" s="10" t="s">
        <v>24</v>
      </c>
      <c r="F11" s="10" t="s">
        <v>25</v>
      </c>
      <c r="G11" s="10" t="s">
        <v>26</v>
      </c>
      <c r="H11" s="12">
        <v>0.82292824074074078</v>
      </c>
      <c r="I11" s="12">
        <v>0.8230439814814815</v>
      </c>
      <c r="J11" s="12">
        <v>1.1574074074074073E-4</v>
      </c>
      <c r="K11" s="13" t="s">
        <v>45</v>
      </c>
      <c r="L11" s="14" t="s">
        <v>33</v>
      </c>
      <c r="M11" s="15"/>
      <c r="N11" s="10" t="s">
        <v>39</v>
      </c>
      <c r="O11" s="10" t="s">
        <v>39</v>
      </c>
      <c r="P11" s="10" t="s">
        <v>31</v>
      </c>
      <c r="Q11" s="10">
        <v>12</v>
      </c>
      <c r="R11" s="10">
        <v>15</v>
      </c>
      <c r="S11" s="10" t="s">
        <v>28</v>
      </c>
      <c r="T11" s="10">
        <v>18.600000000000001</v>
      </c>
      <c r="U11" s="16">
        <v>5067</v>
      </c>
    </row>
    <row r="12" spans="1:21" x14ac:dyDescent="0.35">
      <c r="A12" s="9">
        <v>46079</v>
      </c>
      <c r="B12" s="10" t="s">
        <v>23</v>
      </c>
      <c r="C12" s="11">
        <v>2</v>
      </c>
      <c r="D12" s="10">
        <v>2026</v>
      </c>
      <c r="E12" s="10" t="s">
        <v>24</v>
      </c>
      <c r="F12" s="10" t="s">
        <v>25</v>
      </c>
      <c r="G12" s="10" t="s">
        <v>26</v>
      </c>
      <c r="H12" s="12">
        <v>0.73637731481481483</v>
      </c>
      <c r="I12" s="12">
        <v>0.73649305555555555</v>
      </c>
      <c r="J12" s="12">
        <v>1.1574074074074073E-4</v>
      </c>
      <c r="K12" s="13" t="s">
        <v>29</v>
      </c>
      <c r="L12" s="14" t="s">
        <v>42</v>
      </c>
      <c r="M12" s="15"/>
      <c r="N12" s="10" t="s">
        <v>30</v>
      </c>
      <c r="O12" s="10" t="s">
        <v>30</v>
      </c>
      <c r="P12" s="10" t="s">
        <v>31</v>
      </c>
      <c r="Q12" s="10">
        <v>6</v>
      </c>
      <c r="R12" s="10">
        <v>12</v>
      </c>
      <c r="S12" s="10" t="s">
        <v>28</v>
      </c>
      <c r="T12" s="10">
        <v>12.1</v>
      </c>
      <c r="U12" s="16">
        <v>3311</v>
      </c>
    </row>
    <row r="13" spans="1:21" x14ac:dyDescent="0.35">
      <c r="A13" s="9">
        <v>46079</v>
      </c>
      <c r="B13" s="10" t="s">
        <v>23</v>
      </c>
      <c r="C13" s="11">
        <v>2</v>
      </c>
      <c r="D13" s="10">
        <v>2026</v>
      </c>
      <c r="E13" s="10" t="s">
        <v>24</v>
      </c>
      <c r="F13" s="10" t="s">
        <v>25</v>
      </c>
      <c r="G13" s="10" t="s">
        <v>26</v>
      </c>
      <c r="H13" s="12">
        <v>0.7790393518518518</v>
      </c>
      <c r="I13" s="12">
        <v>0.77916666666666667</v>
      </c>
      <c r="J13" s="12">
        <v>1.273148148148148E-4</v>
      </c>
      <c r="K13" s="13" t="s">
        <v>36</v>
      </c>
      <c r="L13" s="14" t="s">
        <v>37</v>
      </c>
      <c r="M13" s="15"/>
      <c r="N13" s="10" t="s">
        <v>38</v>
      </c>
      <c r="O13" s="10" t="s">
        <v>38</v>
      </c>
      <c r="P13" s="10" t="s">
        <v>31</v>
      </c>
      <c r="Q13" s="10">
        <v>3</v>
      </c>
      <c r="R13" s="10">
        <v>12</v>
      </c>
      <c r="S13" s="10" t="s">
        <v>28</v>
      </c>
      <c r="T13" s="10">
        <v>20.8</v>
      </c>
      <c r="U13" s="16">
        <v>5662</v>
      </c>
    </row>
    <row r="14" spans="1:21" x14ac:dyDescent="0.35">
      <c r="A14" s="9">
        <v>46079</v>
      </c>
      <c r="B14" s="10" t="s">
        <v>23</v>
      </c>
      <c r="C14" s="11">
        <v>2</v>
      </c>
      <c r="D14" s="10">
        <v>2026</v>
      </c>
      <c r="E14" s="10" t="s">
        <v>24</v>
      </c>
      <c r="F14" s="10" t="s">
        <v>25</v>
      </c>
      <c r="G14" s="10" t="s">
        <v>26</v>
      </c>
      <c r="H14" s="12">
        <v>0.80473379629629627</v>
      </c>
      <c r="I14" s="12">
        <v>0.80513888888888896</v>
      </c>
      <c r="J14" s="12">
        <v>4.0509259259259258E-4</v>
      </c>
      <c r="K14" s="13" t="s">
        <v>32</v>
      </c>
      <c r="L14" s="14" t="s">
        <v>44</v>
      </c>
      <c r="M14" s="15"/>
      <c r="N14" s="10" t="s">
        <v>34</v>
      </c>
      <c r="O14" s="10" t="s">
        <v>34</v>
      </c>
      <c r="P14" s="10" t="s">
        <v>31</v>
      </c>
      <c r="Q14" s="10">
        <v>6</v>
      </c>
      <c r="R14" s="10">
        <v>17</v>
      </c>
      <c r="S14" s="10" t="s">
        <v>46</v>
      </c>
      <c r="T14" s="10">
        <v>22.9</v>
      </c>
      <c r="U14" s="16">
        <v>6249</v>
      </c>
    </row>
    <row r="15" spans="1:21" x14ac:dyDescent="0.35">
      <c r="A15" s="9">
        <v>46080</v>
      </c>
      <c r="B15" s="10" t="s">
        <v>23</v>
      </c>
      <c r="C15" s="11">
        <v>2</v>
      </c>
      <c r="D15" s="10">
        <v>2026</v>
      </c>
      <c r="E15" s="10" t="s">
        <v>24</v>
      </c>
      <c r="F15" s="10" t="s">
        <v>25</v>
      </c>
      <c r="G15" s="10" t="s">
        <v>26</v>
      </c>
      <c r="H15" s="12">
        <v>0.77131944444444445</v>
      </c>
      <c r="I15" s="12">
        <v>0.77143518518518517</v>
      </c>
      <c r="J15" s="12">
        <v>1.1574074074074073E-4</v>
      </c>
      <c r="K15" s="13" t="s">
        <v>47</v>
      </c>
      <c r="L15" s="17" t="s">
        <v>48</v>
      </c>
      <c r="M15" s="15"/>
      <c r="N15" s="10" t="s">
        <v>38</v>
      </c>
      <c r="O15" s="10" t="s">
        <v>49</v>
      </c>
      <c r="P15" s="10" t="s">
        <v>35</v>
      </c>
      <c r="Q15" s="10">
        <v>1</v>
      </c>
      <c r="R15" s="10">
        <v>7</v>
      </c>
      <c r="S15" s="10" t="s">
        <v>28</v>
      </c>
      <c r="T15" s="10">
        <v>18.8</v>
      </c>
      <c r="U15" s="16">
        <v>5118</v>
      </c>
    </row>
    <row r="16" spans="1:21" x14ac:dyDescent="0.35">
      <c r="A16" s="9">
        <v>46080</v>
      </c>
      <c r="B16" s="10" t="s">
        <v>23</v>
      </c>
      <c r="C16" s="11">
        <v>2</v>
      </c>
      <c r="D16" s="10">
        <v>2026</v>
      </c>
      <c r="E16" s="10" t="s">
        <v>24</v>
      </c>
      <c r="F16" s="10" t="s">
        <v>25</v>
      </c>
      <c r="G16" s="10" t="s">
        <v>26</v>
      </c>
      <c r="H16" s="12">
        <v>0.77989583333333334</v>
      </c>
      <c r="I16" s="12">
        <v>0.78030092592592604</v>
      </c>
      <c r="J16" s="12">
        <v>4.0509259259259258E-4</v>
      </c>
      <c r="K16" s="13" t="s">
        <v>36</v>
      </c>
      <c r="L16" s="17" t="s">
        <v>37</v>
      </c>
      <c r="M16" s="15"/>
      <c r="N16" s="10" t="s">
        <v>38</v>
      </c>
      <c r="O16" s="10" t="s">
        <v>38</v>
      </c>
      <c r="P16" s="10" t="s">
        <v>27</v>
      </c>
      <c r="Q16" s="10">
        <v>2</v>
      </c>
      <c r="R16" s="10">
        <v>8</v>
      </c>
      <c r="S16" s="10" t="s">
        <v>46</v>
      </c>
      <c r="T16" s="10">
        <v>22.2</v>
      </c>
      <c r="U16" s="16">
        <v>6058</v>
      </c>
    </row>
    <row r="17" spans="1:21" x14ac:dyDescent="0.35">
      <c r="A17" s="9">
        <v>46080</v>
      </c>
      <c r="B17" s="10" t="s">
        <v>23</v>
      </c>
      <c r="C17" s="11">
        <v>2</v>
      </c>
      <c r="D17" s="10">
        <v>2026</v>
      </c>
      <c r="E17" s="10" t="s">
        <v>24</v>
      </c>
      <c r="F17" s="10" t="s">
        <v>25</v>
      </c>
      <c r="G17" s="10" t="s">
        <v>26</v>
      </c>
      <c r="H17" s="12">
        <v>0.94186342592592587</v>
      </c>
      <c r="I17" s="12">
        <v>0.9422800925925926</v>
      </c>
      <c r="J17" s="12">
        <v>4.1666666666666669E-4</v>
      </c>
      <c r="K17" s="13" t="s">
        <v>50</v>
      </c>
      <c r="L17" s="17" t="s">
        <v>40</v>
      </c>
      <c r="M17" s="15"/>
      <c r="N17" s="10" t="s">
        <v>41</v>
      </c>
      <c r="O17" s="10" t="s">
        <v>41</v>
      </c>
      <c r="P17" s="10" t="s">
        <v>35</v>
      </c>
      <c r="Q17" s="10">
        <v>1</v>
      </c>
      <c r="R17" s="10">
        <v>9</v>
      </c>
      <c r="S17" s="10" t="s">
        <v>46</v>
      </c>
      <c r="T17" s="10">
        <v>8.1999999999999993</v>
      </c>
      <c r="U17" s="16">
        <v>2222</v>
      </c>
    </row>
    <row r="18" spans="1:21" x14ac:dyDescent="0.35">
      <c r="A18" s="21" t="s">
        <v>51</v>
      </c>
      <c r="B18" s="22"/>
      <c r="C18" s="18">
        <f>COUNTA(K10:K17)</f>
        <v>8</v>
      </c>
      <c r="S18" s="19" t="s">
        <v>51</v>
      </c>
      <c r="T18" s="19">
        <f>SUM(T10:T17)</f>
        <v>146.19999999999999</v>
      </c>
      <c r="U18" s="20">
        <f>SUM(U10:U17)</f>
        <v>39848</v>
      </c>
    </row>
  </sheetData>
  <mergeCells count="1">
    <mergeCell ref="A18: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GATO - 2M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fahmi</dc:creator>
  <cp:lastModifiedBy>mohamed fahmi</cp:lastModifiedBy>
  <dcterms:created xsi:type="dcterms:W3CDTF">2026-03-02T14:24:59Z</dcterms:created>
  <dcterms:modified xsi:type="dcterms:W3CDTF">2026-03-02T15:04:15Z</dcterms:modified>
</cp:coreProperties>
</file>